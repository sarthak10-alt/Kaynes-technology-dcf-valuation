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eshkapil/Downloads/"/>
    </mc:Choice>
  </mc:AlternateContent>
  <xr:revisionPtr revIDLastSave="0" documentId="13_ncr:1_{F636A38E-FE30-CC48-8B64-56C8E3D5ACA5}" xr6:coauthVersionLast="47" xr6:coauthVersionMax="47" xr10:uidLastSave="{00000000-0000-0000-0000-000000000000}"/>
  <bookViews>
    <workbookView xWindow="660" yWindow="660" windowWidth="27220" windowHeight="16440" activeTab="6" xr2:uid="{D1E03593-5E5F-114B-A286-49E865F66802}"/>
  </bookViews>
  <sheets>
    <sheet name="Cover Page" sheetId="1" r:id="rId1"/>
    <sheet name="Company Overview" sheetId="2" r:id="rId2"/>
    <sheet name="Historical Financials" sheetId="3" r:id="rId3"/>
    <sheet name="Assumptions" sheetId="4" r:id="rId4"/>
    <sheet name="DCF valuations" sheetId="7" r:id="rId5"/>
    <sheet name="Charts" sheetId="8" r:id="rId6"/>
    <sheet name="Executive Summary" sheetId="9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7" l="1"/>
  <c r="F6" i="7"/>
  <c r="E6" i="7"/>
  <c r="D6" i="7"/>
  <c r="C6" i="7"/>
  <c r="G8" i="7"/>
  <c r="F8" i="7"/>
  <c r="E8" i="7"/>
  <c r="D8" i="7"/>
  <c r="C8" i="7"/>
  <c r="G5" i="7"/>
  <c r="F5" i="7"/>
  <c r="E5" i="7"/>
  <c r="D5" i="7"/>
  <c r="C5" i="7"/>
  <c r="G4" i="7"/>
  <c r="F4" i="7"/>
  <c r="E4" i="7"/>
  <c r="D4" i="7"/>
  <c r="C4" i="7"/>
  <c r="F8" i="3"/>
  <c r="E8" i="3"/>
  <c r="D8" i="3"/>
  <c r="C8" i="3"/>
  <c r="B8" i="3"/>
  <c r="F6" i="3"/>
  <c r="E6" i="3"/>
  <c r="D6" i="3"/>
  <c r="C6" i="3"/>
  <c r="B6" i="3"/>
  <c r="D7" i="7" l="1"/>
  <c r="D9" i="7" s="1"/>
  <c r="C7" i="7"/>
  <c r="C9" i="7" s="1"/>
  <c r="E7" i="7" l="1"/>
  <c r="E9" i="7" s="1"/>
  <c r="F7" i="7" l="1"/>
  <c r="F9" i="7" s="1"/>
  <c r="G7" i="7"/>
  <c r="B14" i="7" s="1"/>
  <c r="B15" i="7" s="1"/>
  <c r="G9" i="7" l="1"/>
  <c r="B12" i="7" s="1"/>
  <c r="B16" i="7" s="1"/>
  <c r="B19" i="7" l="1"/>
  <c r="B18" i="7"/>
</calcChain>
</file>

<file path=xl/sharedStrings.xml><?xml version="1.0" encoding="utf-8"?>
<sst xmlns="http://schemas.openxmlformats.org/spreadsheetml/2006/main" count="96" uniqueCount="85">
  <si>
    <t>DCF Valuation of Kaynes Technology India Ltd</t>
  </si>
  <si>
    <t>Prepared By:</t>
  </si>
  <si>
    <t>Sarthak Kapil</t>
  </si>
  <si>
    <t>COMPANY OVERVIEW</t>
  </si>
  <si>
    <t>Particular</t>
  </si>
  <si>
    <t>Details</t>
  </si>
  <si>
    <t>Company Name</t>
  </si>
  <si>
    <t>Kaynes Technology India Ltd</t>
  </si>
  <si>
    <t>Industry</t>
  </si>
  <si>
    <t>Electronics Manufacturing Services (EMS)</t>
  </si>
  <si>
    <t>Founded</t>
  </si>
  <si>
    <t>Headquarters</t>
  </si>
  <si>
    <t>Mysuru, India</t>
  </si>
  <si>
    <t>Market Cap</t>
  </si>
  <si>
    <t>₹21,006 Cr</t>
  </si>
  <si>
    <t>Revenue FY25</t>
  </si>
  <si>
    <t>₹3,626 Cr</t>
  </si>
  <si>
    <t>Net Profit FY25</t>
  </si>
  <si>
    <t>₹364 Cr</t>
  </si>
  <si>
    <t>Business Model</t>
  </si>
  <si>
    <t>End-to-end electronics manufacturing</t>
  </si>
  <si>
    <t>Assumption</t>
  </si>
  <si>
    <t>Value</t>
  </si>
  <si>
    <t>Revenue Growth Y1</t>
  </si>
  <si>
    <t>Revenue Growth Y2</t>
  </si>
  <si>
    <t>Revenue Growth Y3</t>
  </si>
  <si>
    <t>Revenue Growth Y4</t>
  </si>
  <si>
    <t>Revenue Growth Y5</t>
  </si>
  <si>
    <t>FCF Margin</t>
  </si>
  <si>
    <t>WACC</t>
  </si>
  <si>
    <t>Terminal Growth</t>
  </si>
  <si>
    <t>FY26</t>
  </si>
  <si>
    <t>FY27</t>
  </si>
  <si>
    <t>FY28</t>
  </si>
  <si>
    <t>FY29</t>
  </si>
  <si>
    <t>FY30</t>
  </si>
  <si>
    <t>Free Cash Flow</t>
  </si>
  <si>
    <t>PV of FCF</t>
  </si>
  <si>
    <t>PV of Terminal Value</t>
  </si>
  <si>
    <t>Enterprise Value</t>
  </si>
  <si>
    <t>Conclusion</t>
  </si>
  <si>
    <t>FY25</t>
  </si>
  <si>
    <t xml:space="preserve">Growth % </t>
  </si>
  <si>
    <t xml:space="preserve">Discount Factor </t>
  </si>
  <si>
    <t xml:space="preserve">PV of FCF </t>
  </si>
  <si>
    <t xml:space="preserve">FCF Margin </t>
  </si>
  <si>
    <t xml:space="preserve">Revenue </t>
  </si>
  <si>
    <t>-</t>
  </si>
  <si>
    <t xml:space="preserve">Total PV of FCF </t>
  </si>
  <si>
    <t xml:space="preserve">Terminal Value </t>
  </si>
  <si>
    <t xml:space="preserve">Current Market Cap </t>
  </si>
  <si>
    <t xml:space="preserve">Difference </t>
  </si>
  <si>
    <t>Terminal Growth Rate</t>
  </si>
  <si>
    <t>Conclusion </t>
  </si>
  <si>
    <t xml:space="preserve">Enterprise Value </t>
  </si>
  <si>
    <t>Particulars</t>
  </si>
  <si>
    <t>FY21</t>
  </si>
  <si>
    <t>FY22</t>
  </si>
  <si>
    <t>FY23</t>
  </si>
  <si>
    <t>FY24</t>
  </si>
  <si>
    <t>DCF VALUATIONS</t>
  </si>
  <si>
    <t>Key Findings</t>
  </si>
  <si>
    <t>Revenue projected to grow from ₹3,626 Cr to ₹8,404 Cr.</t>
  </si>
  <si>
    <t>Enterprise Value estimated at ₹5,078 Cr.</t>
  </si>
  <si>
    <t>Current Market Capitalization significantly exceeds intrinsic value.</t>
  </si>
  <si>
    <t>Stock appears overvalued under conservative assumptions.</t>
  </si>
  <si>
    <t>Revenue (₹ Cr)</t>
  </si>
  <si>
    <t>EBITDA (₹ Cr)</t>
  </si>
  <si>
    <t>EBITDA Margin (%)</t>
  </si>
  <si>
    <t>Net Profit (₹ Cr)</t>
  </si>
  <si>
    <t>Net Margin (%)</t>
  </si>
  <si>
    <t>Operating Cash Flow (₹ Cr)</t>
  </si>
  <si>
    <t>Component</t>
  </si>
  <si>
    <t>HISTORICAL FINANCIALS</t>
  </si>
  <si>
    <t>ASSUMPTIONS</t>
  </si>
  <si>
    <t>CHARTS</t>
  </si>
  <si>
    <t>Executive Summary</t>
  </si>
  <si>
    <t>Metric</t>
  </si>
  <si>
    <t>₹5,078 Cr</t>
  </si>
  <si>
    <t>Difference</t>
  </si>
  <si>
    <t>₹15,928 Cr</t>
  </si>
  <si>
    <t>OVERVALUED</t>
  </si>
  <si>
    <t>Recommendation: HOLD / AVOID</t>
  </si>
  <si>
    <t>Reason:</t>
  </si>
  <si>
    <t>The DCF-derived Enterprise Value of ₹5,078 Cr is significantly lower than the current market capitalization of ₹21,006 Cr, indicating that the stock appears overvalued under conservative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</si>
</sst>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7" formatCode="_ [$₹-4009]\ * #,##0.00_ ;_ [$₹-4009]\ * \-#,##0.00_ ;_ [$₹-4009]\ * &quot;-&quot;??_ ;_ @_ "/>
    <numFmt numFmtId="169" formatCode="_ [$₹-4009]\ * #,##0_ ;_ [$₹-4009]\ * \-#,##0_ ;_ [$₹-4009]\ * &quot;-&quot;??_ ;_ @_ 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20"/>
      <color theme="1"/>
      <name val="Aptos Narrow"/>
      <scheme val="minor"/>
    </font>
    <font>
      <b/>
      <sz val="2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8"/>
      <color theme="1"/>
      <name val="Calibri"/>
      <family val="2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0" fontId="4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/>
    </xf>
    <xf numFmtId="10" fontId="6" fillId="0" borderId="0" xfId="0" applyNumberFormat="1" applyFont="1"/>
    <xf numFmtId="9" fontId="6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7" fontId="6" fillId="0" borderId="0" xfId="0" applyNumberFormat="1" applyFont="1"/>
    <xf numFmtId="2" fontId="6" fillId="0" borderId="0" xfId="0" applyNumberFormat="1" applyFont="1"/>
    <xf numFmtId="10" fontId="6" fillId="0" borderId="0" xfId="2" applyNumberFormat="1" applyFont="1"/>
    <xf numFmtId="169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44" fontId="6" fillId="0" borderId="0" xfId="1" applyFont="1"/>
    <xf numFmtId="0" fontId="6" fillId="2" borderId="0" xfId="0" applyFont="1" applyFill="1"/>
    <xf numFmtId="0" fontId="6" fillId="3" borderId="0" xfId="0" applyFont="1" applyFill="1"/>
    <xf numFmtId="0" fontId="6" fillId="5" borderId="0" xfId="0" applyFont="1" applyFill="1"/>
    <xf numFmtId="0" fontId="10" fillId="4" borderId="0" xfId="0" applyFont="1" applyFill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HISTORICAL REVENUE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Financials'!$A$4</c:f>
              <c:strCache>
                <c:ptCount val="1"/>
                <c:pt idx="0">
                  <c:v>Revenue (₹ Cr)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'Historical Financials'!$B$3:$F$3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'Historical Financials'!$B$4:$F$4</c:f>
              <c:numCache>
                <c:formatCode>_ [$₹-4009]\ * #,##0.00_ ;_ [$₹-4009]\ * \-#,##0.00_ ;_ [$₹-4009]\ * "-"??_ ;_ @_ </c:formatCode>
                <c:ptCount val="5"/>
                <c:pt idx="0">
                  <c:v>706</c:v>
                </c:pt>
                <c:pt idx="1">
                  <c:v>1125</c:v>
                </c:pt>
                <c:pt idx="2">
                  <c:v>1706</c:v>
                </c:pt>
                <c:pt idx="3">
                  <c:v>2007</c:v>
                </c:pt>
                <c:pt idx="4">
                  <c:v>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9-974F-8FCB-C8189AF94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605759"/>
        <c:axId val="1994931519"/>
      </c:lineChart>
      <c:catAx>
        <c:axId val="19866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31519"/>
        <c:crosses val="autoZero"/>
        <c:auto val="1"/>
        <c:lblAlgn val="ctr"/>
        <c:lblOffset val="100"/>
        <c:noMultiLvlLbl val="0"/>
      </c:catAx>
      <c:valAx>
        <c:axId val="199493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0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HISTORICAL NET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Financials'!$A$7</c:f>
              <c:strCache>
                <c:ptCount val="1"/>
                <c:pt idx="0">
                  <c:v>Net Profit (₹ Cr)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'Historical Financials'!$B$3:$F$3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'Historical Financials'!$B$7:$F$7</c:f>
              <c:numCache>
                <c:formatCode>_("₹"* #,##0.00_);_("₹"* \(#,##0.00\);_("₹"* "-"??_);_(@_)</c:formatCode>
                <c:ptCount val="5"/>
                <c:pt idx="0">
                  <c:v>29</c:v>
                </c:pt>
                <c:pt idx="1">
                  <c:v>42</c:v>
                </c:pt>
                <c:pt idx="2">
                  <c:v>95</c:v>
                </c:pt>
                <c:pt idx="3">
                  <c:v>147</c:v>
                </c:pt>
                <c:pt idx="4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E-DE42-80EB-37170EE64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264831"/>
        <c:axId val="1982490239"/>
      </c:lineChart>
      <c:catAx>
        <c:axId val="199526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90239"/>
        <c:crosses val="autoZero"/>
        <c:auto val="1"/>
        <c:lblAlgn val="ctr"/>
        <c:lblOffset val="100"/>
        <c:noMultiLvlLbl val="0"/>
      </c:catAx>
      <c:valAx>
        <c:axId val="198249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26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REVENUE FORECAST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'DCF valuations'!$A$4</c:f>
              <c:strCache>
                <c:ptCount val="1"/>
                <c:pt idx="0">
                  <c:v>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'DCF valuations'!$B$3:$G$3</c:f>
              <c:strCache>
                <c:ptCount val="6"/>
                <c:pt idx="0">
                  <c:v>FY25</c:v>
                </c:pt>
                <c:pt idx="1">
                  <c:v>FY26</c:v>
                </c:pt>
                <c:pt idx="2">
                  <c:v>FY27</c:v>
                </c:pt>
                <c:pt idx="3">
                  <c:v>FY28</c:v>
                </c:pt>
                <c:pt idx="4">
                  <c:v>FY29</c:v>
                </c:pt>
                <c:pt idx="5">
                  <c:v>FY30</c:v>
                </c:pt>
              </c:strCache>
            </c:strRef>
          </c:cat>
          <c:val>
            <c:numRef>
              <c:f>'DCF valuations'!$B$4:$G$4</c:f>
              <c:numCache>
                <c:formatCode>_ [$₹-4009]\ * #,##0.00_ ;_ [$₹-4009]\ * \-#,##0.00_ ;_ [$₹-4009]\ * "-"??_ ;_ @_ </c:formatCode>
                <c:ptCount val="6"/>
                <c:pt idx="0" formatCode="_ [$₹-4009]\ * #,##0_ ;_ [$₹-4009]\ * \-#,##0_ ;_ [$₹-4009]\ * &quot;-&quot;??_ ;_ @_ ">
                  <c:v>3626</c:v>
                </c:pt>
                <c:pt idx="1">
                  <c:v>4532.5</c:v>
                </c:pt>
                <c:pt idx="2">
                  <c:v>5529.65</c:v>
                </c:pt>
                <c:pt idx="3">
                  <c:v>6524.9869999999992</c:v>
                </c:pt>
                <c:pt idx="4">
                  <c:v>7503.7350499999984</c:v>
                </c:pt>
                <c:pt idx="5">
                  <c:v>8404.1832559999984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E-6E4F-87B7-BA9D11D0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565887"/>
        <c:axId val="1995650175"/>
      </c:lineChart>
      <c:catAx>
        <c:axId val="199656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50175"/>
        <c:crosses val="autoZero"/>
        <c:auto val="1"/>
        <c:lblAlgn val="ctr"/>
        <c:lblOffset val="100"/>
        <c:noMultiLvlLbl val="0"/>
      </c:catAx>
      <c:valAx>
        <c:axId val="19956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6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FCF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'DCF valuations'!$A$7:$B$7</c:f>
              <c:strCache>
                <c:ptCount val="2"/>
                <c:pt idx="0">
                  <c:v>Free Cash Flow</c:v>
                </c:pt>
                <c:pt idx="1">
                  <c:v>-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'DCF valuations'!$C$3:$G$3</c:f>
              <c:strCache>
                <c:ptCount val="5"/>
                <c:pt idx="0">
                  <c:v>FY26</c:v>
                </c:pt>
                <c:pt idx="1">
                  <c:v>FY27</c:v>
                </c:pt>
                <c:pt idx="2">
                  <c:v>FY28</c:v>
                </c:pt>
                <c:pt idx="3">
                  <c:v>FY29</c:v>
                </c:pt>
                <c:pt idx="4">
                  <c:v>FY30</c:v>
                </c:pt>
              </c:strCache>
            </c:strRef>
          </c:cat>
          <c:val>
            <c:numRef>
              <c:f>'DCF valuations'!$C$7:$G$7</c:f>
              <c:numCache>
                <c:formatCode>0.00</c:formatCode>
                <c:ptCount val="5"/>
                <c:pt idx="0">
                  <c:v>271.95</c:v>
                </c:pt>
                <c:pt idx="1">
                  <c:v>331.77899999999994</c:v>
                </c:pt>
                <c:pt idx="2">
                  <c:v>391.49921999999992</c:v>
                </c:pt>
                <c:pt idx="3">
                  <c:v>450.2241029999999</c:v>
                </c:pt>
                <c:pt idx="4">
                  <c:v>504.25099535999988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1-D942-ABB5-2AD3C2E8A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183231"/>
        <c:axId val="1996185471"/>
      </c:barChart>
      <c:catAx>
        <c:axId val="199618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85471"/>
        <c:crosses val="autoZero"/>
        <c:auto val="1"/>
        <c:lblAlgn val="ctr"/>
        <c:lblOffset val="100"/>
        <c:noMultiLvlLbl val="0"/>
      </c:catAx>
      <c:valAx>
        <c:axId val="19961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8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ENTERPRISE</a:t>
            </a:r>
            <a:r>
              <a:rPr lang="en-US" b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VALUE BREAKDOWN</a:t>
            </a:r>
            <a:endParaRPr lang="en-US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'DCF valuations'!$J$26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'DCF valuations'!$I$27:$I$28</c:f>
              <c:strCache>
                <c:ptCount val="2"/>
                <c:pt idx="0">
                  <c:v>PV of FCF</c:v>
                </c:pt>
                <c:pt idx="1">
                  <c:v>PV of Terminal Value</c:v>
                </c:pt>
              </c:strCache>
            </c:strRef>
          </c:cat>
          <c:val>
            <c:numRef>
              <c:f>'DCF valuations'!$J$27:$J$28</c:f>
              <c:numCache>
                <c:formatCode>General</c:formatCode>
                <c:ptCount val="2"/>
                <c:pt idx="0">
                  <c:v>1358</c:v>
                </c:pt>
                <c:pt idx="1">
                  <c:v>3720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D-9C43-8EBA-DAFEC5F09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927100</xdr:colOff>
      <xdr:row>3</xdr:row>
      <xdr:rowOff>6350</xdr:rowOff>
    </xdr:from>
    <xdr:to>
      <xdr:col>6</xdr:col>
      <xdr:colOff>546100</xdr:colOff>
      <xdr:row>16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49869-43F7-6990-183F-AD0252998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2</xdr:row>
      <xdr:rowOff>196850</xdr:rowOff>
    </xdr:from>
    <xdr:to>
      <xdr:col>14</xdr:col>
      <xdr:colOff>457200</xdr:colOff>
      <xdr:row>16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B27B14-E84D-7FE8-0D24-348A6AB19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812800</xdr:colOff>
      <xdr:row>19</xdr:row>
      <xdr:rowOff>6350</xdr:rowOff>
    </xdr:from>
    <xdr:to>
      <xdr:col>14</xdr:col>
      <xdr:colOff>431800</xdr:colOff>
      <xdr:row>32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449861-2D76-9FF4-CE4C-FE3859D61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914400</xdr:colOff>
      <xdr:row>19</xdr:row>
      <xdr:rowOff>6350</xdr:rowOff>
    </xdr:from>
    <xdr:to>
      <xdr:col>6</xdr:col>
      <xdr:colOff>533400</xdr:colOff>
      <xdr:row>32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5686EA-F9D9-AF67-6BCE-2F3132C7F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19050</xdr:colOff>
      <xdr:row>12</xdr:row>
      <xdr:rowOff>196850</xdr:rowOff>
    </xdr:from>
    <xdr:to>
      <xdr:col>21</xdr:col>
      <xdr:colOff>463550</xdr:colOff>
      <xdr:row>26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34CB17-C25E-83EB-70CA-00F790639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41D5-E0F8-FA48-83CE-29AB43699D07}">
  <dimension ref="A1:H4"/>
  <sheetViews>
    <sheetView workbookViewId="0">
      <selection activeCell="B14" sqref="B14"/>
    </sheetView>
  </sheetViews>
  <sheetFormatPr baseColWidth="10" defaultRowHeight="16" x14ac:dyDescent="0.2"/>
  <cols>
    <col min="1" max="1" width="73" style="5" bestFit="1" customWidth="1"/>
    <col min="2" max="16384" width="10.83203125" style="5"/>
  </cols>
  <sheetData>
    <row r="1" spans="1:8" ht="29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</row>
    <row r="2" spans="1:8" x14ac:dyDescent="0.2">
      <c r="A2" s="20"/>
      <c r="B2" s="20"/>
      <c r="C2" s="20"/>
      <c r="D2" s="20"/>
      <c r="E2" s="20"/>
      <c r="F2" s="20"/>
      <c r="G2" s="20"/>
      <c r="H2" s="20"/>
    </row>
    <row r="3" spans="1:8" ht="21" customHeight="1" x14ac:dyDescent="0.25">
      <c r="A3" s="18" t="s">
        <v>1</v>
      </c>
      <c r="B3" s="18"/>
      <c r="C3" s="18"/>
      <c r="D3" s="18"/>
      <c r="E3" s="18"/>
      <c r="F3" s="18"/>
      <c r="G3" s="18"/>
      <c r="H3" s="18"/>
    </row>
    <row r="4" spans="1:8" ht="21" customHeight="1" x14ac:dyDescent="0.25">
      <c r="A4" s="19" t="s">
        <v>2</v>
      </c>
      <c r="B4" s="19"/>
      <c r="C4" s="19"/>
      <c r="D4" s="19"/>
      <c r="E4" s="19"/>
      <c r="F4" s="19"/>
      <c r="G4" s="19"/>
      <c r="H4" s="19"/>
    </row>
  </sheetData>
  <mergeCells count="4">
    <mergeCell ref="A1:H1"/>
    <mergeCell ref="A3:H3"/>
    <mergeCell ref="A4:H4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BE67-CFB4-C047-9D0D-4DB383D49761}">
  <dimension ref="A1:B11"/>
  <sheetViews>
    <sheetView workbookViewId="0">
      <selection activeCell="B4" sqref="B4"/>
    </sheetView>
  </sheetViews>
  <sheetFormatPr baseColWidth="10" defaultRowHeight="16" x14ac:dyDescent="0.2"/>
  <cols>
    <col min="1" max="1" width="31.83203125" style="5" bestFit="1" customWidth="1"/>
    <col min="2" max="2" width="40.6640625" style="5" bestFit="1" customWidth="1"/>
    <col min="3" max="16384" width="10.83203125" style="5"/>
  </cols>
  <sheetData>
    <row r="1" spans="1:2" ht="26" x14ac:dyDescent="0.3">
      <c r="A1" s="8" t="s">
        <v>3</v>
      </c>
    </row>
    <row r="3" spans="1:2" ht="21" x14ac:dyDescent="0.25">
      <c r="A3" s="9" t="s">
        <v>4</v>
      </c>
      <c r="B3" s="9" t="s">
        <v>5</v>
      </c>
    </row>
    <row r="4" spans="1:2" ht="19" x14ac:dyDescent="0.25">
      <c r="A4" s="6" t="s">
        <v>6</v>
      </c>
      <c r="B4" s="7" t="s">
        <v>7</v>
      </c>
    </row>
    <row r="5" spans="1:2" ht="19" x14ac:dyDescent="0.25">
      <c r="A5" s="6" t="s">
        <v>8</v>
      </c>
      <c r="B5" s="7" t="s">
        <v>9</v>
      </c>
    </row>
    <row r="6" spans="1:2" ht="19" x14ac:dyDescent="0.25">
      <c r="A6" s="6" t="s">
        <v>10</v>
      </c>
      <c r="B6" s="10">
        <v>1988</v>
      </c>
    </row>
    <row r="7" spans="1:2" ht="19" x14ac:dyDescent="0.25">
      <c r="A7" s="6" t="s">
        <v>11</v>
      </c>
      <c r="B7" s="7" t="s">
        <v>12</v>
      </c>
    </row>
    <row r="8" spans="1:2" ht="19" x14ac:dyDescent="0.25">
      <c r="A8" s="6" t="s">
        <v>13</v>
      </c>
      <c r="B8" s="7" t="s">
        <v>14</v>
      </c>
    </row>
    <row r="9" spans="1:2" ht="19" x14ac:dyDescent="0.25">
      <c r="A9" s="6" t="s">
        <v>15</v>
      </c>
      <c r="B9" s="7" t="s">
        <v>16</v>
      </c>
    </row>
    <row r="10" spans="1:2" ht="19" x14ac:dyDescent="0.25">
      <c r="A10" s="6" t="s">
        <v>17</v>
      </c>
      <c r="B10" s="7" t="s">
        <v>18</v>
      </c>
    </row>
    <row r="11" spans="1:2" ht="19" x14ac:dyDescent="0.25">
      <c r="A11" s="6" t="s">
        <v>19</v>
      </c>
      <c r="B11" s="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7686-8162-AE42-9205-55F72318B256}">
  <dimension ref="A1:F16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14" sqref="F14"/>
    </sheetView>
  </sheetViews>
  <sheetFormatPr baseColWidth="10" defaultRowHeight="16" x14ac:dyDescent="0.2"/>
  <cols>
    <col min="1" max="1" width="36.33203125" bestFit="1" customWidth="1"/>
    <col min="2" max="2" width="12.33203125" bestFit="1" customWidth="1"/>
  </cols>
  <sheetData>
    <row r="1" spans="1:6" ht="27" x14ac:dyDescent="0.35">
      <c r="A1" s="4" t="s">
        <v>73</v>
      </c>
    </row>
    <row r="3" spans="1:6" ht="21" x14ac:dyDescent="0.25">
      <c r="A3" s="9" t="s">
        <v>55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41</v>
      </c>
    </row>
    <row r="4" spans="1:6" x14ac:dyDescent="0.2">
      <c r="A4" s="5" t="s">
        <v>66</v>
      </c>
      <c r="B4" s="21">
        <v>706</v>
      </c>
      <c r="C4" s="21">
        <v>1125</v>
      </c>
      <c r="D4" s="21">
        <v>1706</v>
      </c>
      <c r="E4" s="21">
        <v>2007</v>
      </c>
      <c r="F4" s="21">
        <v>3626</v>
      </c>
    </row>
    <row r="5" spans="1:6" x14ac:dyDescent="0.2">
      <c r="A5" s="5" t="s">
        <v>67</v>
      </c>
      <c r="B5" s="21">
        <v>57</v>
      </c>
      <c r="C5" s="21">
        <v>99</v>
      </c>
      <c r="D5" s="21">
        <v>170</v>
      </c>
      <c r="E5" s="21">
        <v>220</v>
      </c>
      <c r="F5" s="21">
        <v>469</v>
      </c>
    </row>
    <row r="6" spans="1:6" x14ac:dyDescent="0.2">
      <c r="A6" s="5" t="s">
        <v>68</v>
      </c>
      <c r="B6" s="11">
        <f>B5/B4</f>
        <v>8.0736543909348438E-2</v>
      </c>
      <c r="C6" s="11">
        <f t="shared" ref="C6" si="0">C5/C4</f>
        <v>8.7999999999999995E-2</v>
      </c>
      <c r="D6" s="11">
        <f t="shared" ref="D6" si="1">D5/D4</f>
        <v>9.9648300117233288E-2</v>
      </c>
      <c r="E6" s="11">
        <f t="shared" ref="E6" si="2">E5/E4</f>
        <v>0.1096163428001993</v>
      </c>
      <c r="F6" s="11">
        <f t="shared" ref="F6" si="3">F5/F4</f>
        <v>0.12934362934362933</v>
      </c>
    </row>
    <row r="7" spans="1:6" x14ac:dyDescent="0.2">
      <c r="A7" s="5" t="s">
        <v>69</v>
      </c>
      <c r="B7" s="26">
        <v>29</v>
      </c>
      <c r="C7" s="26">
        <v>42</v>
      </c>
      <c r="D7" s="26">
        <v>95</v>
      </c>
      <c r="E7" s="26">
        <v>147</v>
      </c>
      <c r="F7" s="26">
        <v>364</v>
      </c>
    </row>
    <row r="8" spans="1:6" x14ac:dyDescent="0.2">
      <c r="A8" s="5" t="s">
        <v>70</v>
      </c>
      <c r="B8" s="11">
        <f>B7/B4</f>
        <v>4.1076487252124649E-2</v>
      </c>
      <c r="C8" s="11">
        <f t="shared" ref="C8" si="4">C7/C4</f>
        <v>3.7333333333333336E-2</v>
      </c>
      <c r="D8" s="11">
        <f t="shared" ref="D8" si="5">D7/D4</f>
        <v>5.5685814771395073E-2</v>
      </c>
      <c r="E8" s="11">
        <f t="shared" ref="E8" si="6">E7/E4</f>
        <v>7.3243647234678619E-2</v>
      </c>
      <c r="F8" s="11">
        <f t="shared" ref="F8" si="7">F7/F4</f>
        <v>0.10038610038610038</v>
      </c>
    </row>
    <row r="9" spans="1:6" x14ac:dyDescent="0.2">
      <c r="A9" s="5" t="s">
        <v>71</v>
      </c>
      <c r="B9" s="26">
        <v>43</v>
      </c>
      <c r="C9" s="26">
        <v>60</v>
      </c>
      <c r="D9" s="26">
        <v>118</v>
      </c>
      <c r="E9" s="26">
        <v>169</v>
      </c>
      <c r="F9" s="26">
        <v>372</v>
      </c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C12" s="2"/>
      <c r="D12" s="2"/>
      <c r="E12" s="2"/>
      <c r="F12" s="2"/>
    </row>
    <row r="14" spans="1:6" x14ac:dyDescent="0.2">
      <c r="B14" s="3"/>
      <c r="C14" s="3"/>
      <c r="D14" s="3"/>
      <c r="E14" s="3"/>
      <c r="F14" s="3"/>
    </row>
    <row r="16" spans="1:6" x14ac:dyDescent="0.2">
      <c r="B16" s="3"/>
      <c r="C16" s="3"/>
      <c r="D16" s="3"/>
      <c r="E16" s="3"/>
      <c r="F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49A6-707D-0A49-98D9-A7EDBF86E868}">
  <dimension ref="A1:B11"/>
  <sheetViews>
    <sheetView workbookViewId="0">
      <selection activeCell="C4" sqref="C4"/>
    </sheetView>
  </sheetViews>
  <sheetFormatPr baseColWidth="10" defaultRowHeight="16" x14ac:dyDescent="0.2"/>
  <cols>
    <col min="1" max="1" width="22.1640625" bestFit="1" customWidth="1"/>
  </cols>
  <sheetData>
    <row r="1" spans="1:2" ht="26" x14ac:dyDescent="0.3">
      <c r="A1" s="8" t="s">
        <v>74</v>
      </c>
    </row>
    <row r="3" spans="1:2" ht="21" x14ac:dyDescent="0.25">
      <c r="A3" s="9" t="s">
        <v>21</v>
      </c>
      <c r="B3" s="9" t="s">
        <v>22</v>
      </c>
    </row>
    <row r="4" spans="1:2" x14ac:dyDescent="0.2">
      <c r="A4" s="5" t="s">
        <v>23</v>
      </c>
      <c r="B4" s="12">
        <v>0.25</v>
      </c>
    </row>
    <row r="5" spans="1:2" x14ac:dyDescent="0.2">
      <c r="A5" s="5" t="s">
        <v>24</v>
      </c>
      <c r="B5" s="12">
        <v>0.22</v>
      </c>
    </row>
    <row r="6" spans="1:2" x14ac:dyDescent="0.2">
      <c r="A6" s="5" t="s">
        <v>25</v>
      </c>
      <c r="B6" s="12">
        <v>0.18</v>
      </c>
    </row>
    <row r="7" spans="1:2" x14ac:dyDescent="0.2">
      <c r="A7" s="5" t="s">
        <v>26</v>
      </c>
      <c r="B7" s="12">
        <v>0.15</v>
      </c>
    </row>
    <row r="8" spans="1:2" x14ac:dyDescent="0.2">
      <c r="A8" s="5" t="s">
        <v>27</v>
      </c>
      <c r="B8" s="12">
        <v>0.12</v>
      </c>
    </row>
    <row r="9" spans="1:2" x14ac:dyDescent="0.2">
      <c r="A9" s="5" t="s">
        <v>28</v>
      </c>
      <c r="B9" s="12">
        <v>0.06</v>
      </c>
    </row>
    <row r="10" spans="1:2" x14ac:dyDescent="0.2">
      <c r="A10" s="5" t="s">
        <v>29</v>
      </c>
      <c r="B10" s="12">
        <v>0.12</v>
      </c>
    </row>
    <row r="11" spans="1:2" x14ac:dyDescent="0.2">
      <c r="A11" s="5" t="s">
        <v>30</v>
      </c>
      <c r="B11" s="12">
        <v>0.04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EA71-22D8-1941-95A7-1013789FF6E3}">
  <dimension ref="A1:J28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H15" sqref="H15"/>
    </sheetView>
  </sheetViews>
  <sheetFormatPr baseColWidth="10" defaultRowHeight="16" x14ac:dyDescent="0.2"/>
  <cols>
    <col min="1" max="1" width="55.83203125" style="5" bestFit="1" customWidth="1"/>
    <col min="2" max="2" width="12.83203125" style="5" bestFit="1" customWidth="1"/>
    <col min="3" max="16384" width="10.83203125" style="5"/>
  </cols>
  <sheetData>
    <row r="1" spans="1:7" ht="26" x14ac:dyDescent="0.3">
      <c r="A1" s="8" t="s">
        <v>60</v>
      </c>
    </row>
    <row r="3" spans="1:7" ht="21" x14ac:dyDescent="0.25">
      <c r="A3" s="9" t="s">
        <v>55</v>
      </c>
      <c r="B3" s="9" t="s">
        <v>41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</row>
    <row r="4" spans="1:7" x14ac:dyDescent="0.2">
      <c r="A4" s="5" t="s">
        <v>46</v>
      </c>
      <c r="B4" s="24">
        <v>3626</v>
      </c>
      <c r="C4" s="25">
        <f>B4*(1+Assumptions!B4)</f>
        <v>4532.5</v>
      </c>
      <c r="D4" s="25">
        <f>C4*(1+Assumptions!B5)</f>
        <v>5529.65</v>
      </c>
      <c r="E4" s="25">
        <f>D4*(1+Assumptions!B6)</f>
        <v>6524.9869999999992</v>
      </c>
      <c r="F4" s="25">
        <f>E4*(1+Assumptions!B7)</f>
        <v>7503.7350499999984</v>
      </c>
      <c r="G4" s="25">
        <f>F4*(1+Assumptions!B8)</f>
        <v>8404.1832559999984</v>
      </c>
    </row>
    <row r="5" spans="1:7" x14ac:dyDescent="0.2">
      <c r="A5" s="5" t="s">
        <v>42</v>
      </c>
      <c r="B5" s="5" t="s">
        <v>47</v>
      </c>
      <c r="C5" s="12">
        <f>Assumptions!B4</f>
        <v>0.25</v>
      </c>
      <c r="D5" s="12">
        <f>Assumptions!B5</f>
        <v>0.22</v>
      </c>
      <c r="E5" s="12">
        <f>Assumptions!B6</f>
        <v>0.18</v>
      </c>
      <c r="F5" s="12">
        <f>Assumptions!B7</f>
        <v>0.15</v>
      </c>
      <c r="G5" s="12">
        <f>Assumptions!B8</f>
        <v>0.12</v>
      </c>
    </row>
    <row r="6" spans="1:7" x14ac:dyDescent="0.2">
      <c r="A6" s="5" t="s">
        <v>45</v>
      </c>
      <c r="B6" s="5" t="s">
        <v>47</v>
      </c>
      <c r="C6" s="12">
        <f>Assumptions!B9</f>
        <v>0.06</v>
      </c>
      <c r="D6" s="12">
        <f>Assumptions!B9</f>
        <v>0.06</v>
      </c>
      <c r="E6" s="12">
        <f>Assumptions!B9</f>
        <v>0.06</v>
      </c>
      <c r="F6" s="12">
        <f>Assumptions!B9</f>
        <v>0.06</v>
      </c>
      <c r="G6" s="12">
        <f>Assumptions!B9</f>
        <v>0.06</v>
      </c>
    </row>
    <row r="7" spans="1:7" x14ac:dyDescent="0.2">
      <c r="A7" s="5" t="s">
        <v>36</v>
      </c>
      <c r="B7" s="5" t="s">
        <v>47</v>
      </c>
      <c r="C7" s="22">
        <f>C4*C6</f>
        <v>271.95</v>
      </c>
      <c r="D7" s="22">
        <f>D4*D6</f>
        <v>331.77899999999994</v>
      </c>
      <c r="E7" s="22">
        <f>E4*E6</f>
        <v>391.49921999999992</v>
      </c>
      <c r="F7" s="22">
        <f>F4*F6</f>
        <v>450.2241029999999</v>
      </c>
      <c r="G7" s="22">
        <f>G4*G6</f>
        <v>504.25099535999988</v>
      </c>
    </row>
    <row r="8" spans="1:7" x14ac:dyDescent="0.2">
      <c r="A8" s="5" t="s">
        <v>43</v>
      </c>
      <c r="B8" s="5" t="s">
        <v>47</v>
      </c>
      <c r="C8" s="22">
        <f>1/(1+Assumptions!B10)^1</f>
        <v>0.89285714285714279</v>
      </c>
      <c r="D8" s="22">
        <f>1/(1+Assumptions!B10)^2</f>
        <v>0.79719387755102034</v>
      </c>
      <c r="E8" s="22">
        <f>1/(1+Assumptions!B10)^3</f>
        <v>0.71178024781341087</v>
      </c>
      <c r="F8" s="22">
        <f>1/(1+Assumptions!B10)^4</f>
        <v>0.63551807840483121</v>
      </c>
      <c r="G8" s="22">
        <f>1/(1+Assumptions!B10)^5</f>
        <v>0.56742685571859919</v>
      </c>
    </row>
    <row r="9" spans="1:7" x14ac:dyDescent="0.2">
      <c r="A9" s="5" t="s">
        <v>44</v>
      </c>
      <c r="B9" s="5" t="s">
        <v>47</v>
      </c>
      <c r="C9" s="22">
        <f>C7*C8</f>
        <v>242.81249999999997</v>
      </c>
      <c r="D9" s="22">
        <f>D7*D8</f>
        <v>264.49218749999994</v>
      </c>
      <c r="E9" s="22">
        <f>E7*E8</f>
        <v>278.661411830357</v>
      </c>
      <c r="F9" s="22">
        <f>F7*F8</f>
        <v>286.12555679009876</v>
      </c>
      <c r="G9" s="22">
        <f>G7*G8</f>
        <v>286.1255567900987</v>
      </c>
    </row>
    <row r="12" spans="1:7" x14ac:dyDescent="0.2">
      <c r="A12" s="5" t="s">
        <v>48</v>
      </c>
      <c r="B12" s="5">
        <f>SUM(C9:G9)</f>
        <v>1358.2172129105543</v>
      </c>
    </row>
    <row r="13" spans="1:7" x14ac:dyDescent="0.2">
      <c r="A13" s="5" t="s">
        <v>52</v>
      </c>
      <c r="B13" s="12">
        <v>0.04</v>
      </c>
    </row>
    <row r="14" spans="1:7" x14ac:dyDescent="0.2">
      <c r="A14" s="5" t="s">
        <v>49</v>
      </c>
      <c r="B14" s="23">
        <f>(G7*(1+'DCF valuations'!B11))/(Assumptions!B10-Assumptions!B11)</f>
        <v>6303.1374419999993</v>
      </c>
    </row>
    <row r="15" spans="1:7" x14ac:dyDescent="0.2">
      <c r="A15" s="5" t="s">
        <v>38</v>
      </c>
      <c r="B15" s="5">
        <f>B14/(1+Assumptions!B10)^5</f>
        <v>3576.5694598762343</v>
      </c>
    </row>
    <row r="16" spans="1:7" x14ac:dyDescent="0.2">
      <c r="A16" s="5" t="s">
        <v>54</v>
      </c>
      <c r="B16" s="21">
        <f>B12+B15</f>
        <v>4934.7866727867886</v>
      </c>
    </row>
    <row r="17" spans="1:10" x14ac:dyDescent="0.2">
      <c r="A17" s="5" t="s">
        <v>50</v>
      </c>
      <c r="B17" s="5">
        <v>21006</v>
      </c>
    </row>
    <row r="18" spans="1:10" x14ac:dyDescent="0.2">
      <c r="A18" s="5" t="s">
        <v>51</v>
      </c>
      <c r="B18" s="5">
        <f>B16-B17</f>
        <v>-16071.213327213212</v>
      </c>
    </row>
    <row r="19" spans="1:10" x14ac:dyDescent="0.2">
      <c r="A19" s="5" t="s">
        <v>53</v>
      </c>
      <c r="B19" s="5" t="str">
        <f>IF(B16&gt;B17,"UNDERVALUED","OVERVALUED")</f>
        <v>OVERVALUED</v>
      </c>
    </row>
    <row r="22" spans="1:10" ht="19" x14ac:dyDescent="0.25">
      <c r="A22" s="13"/>
    </row>
    <row r="23" spans="1:10" ht="26" x14ac:dyDescent="0.3">
      <c r="A23" s="8"/>
    </row>
    <row r="26" spans="1:10" x14ac:dyDescent="0.2">
      <c r="I26" s="14" t="s">
        <v>72</v>
      </c>
      <c r="J26" s="14" t="s">
        <v>22</v>
      </c>
    </row>
    <row r="27" spans="1:10" x14ac:dyDescent="0.2">
      <c r="I27" s="15" t="s">
        <v>37</v>
      </c>
      <c r="J27" s="15">
        <v>1358</v>
      </c>
    </row>
    <row r="28" spans="1:10" x14ac:dyDescent="0.2">
      <c r="I28" s="15" t="s">
        <v>38</v>
      </c>
      <c r="J28" s="15">
        <v>3720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2FF7-BE3D-D140-AA41-107FB2A427EA}">
  <dimension ref="A1:N4"/>
  <sheetViews>
    <sheetView workbookViewId="0">
      <selection activeCell="R10" sqref="R10"/>
    </sheetView>
  </sheetViews>
  <sheetFormatPr baseColWidth="10" defaultRowHeight="16" x14ac:dyDescent="0.2"/>
  <cols>
    <col min="1" max="1" width="12.5" bestFit="1" customWidth="1"/>
    <col min="3" max="3" width="10.83203125" customWidth="1"/>
  </cols>
  <sheetData>
    <row r="1" spans="1:14" ht="26" x14ac:dyDescent="0.3">
      <c r="A1" s="8" t="s">
        <v>75</v>
      </c>
    </row>
    <row r="4" spans="1:14" x14ac:dyDescent="0.2">
      <c r="A4" s="1"/>
      <c r="B4" s="1"/>
      <c r="D4" s="1"/>
      <c r="E4" s="1"/>
      <c r="G4" s="1"/>
      <c r="H4" s="1"/>
      <c r="J4" s="1"/>
      <c r="K4" s="1"/>
      <c r="M4" s="1"/>
      <c r="N4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710F-7909-B04E-8636-B6CA324E99E9}">
  <dimension ref="A1:B20"/>
  <sheetViews>
    <sheetView tabSelected="1" workbookViewId="0">
      <selection activeCell="A22" sqref="A22"/>
    </sheetView>
  </sheetViews>
  <sheetFormatPr baseColWidth="10" defaultRowHeight="16" x14ac:dyDescent="0.2"/>
  <cols>
    <col min="1" max="1" width="63.6640625" style="5" customWidth="1"/>
    <col min="2" max="2" width="12.6640625" style="5" bestFit="1" customWidth="1"/>
    <col min="3" max="16384" width="10.83203125" style="5"/>
  </cols>
  <sheetData>
    <row r="1" spans="1:2" ht="26" x14ac:dyDescent="0.3">
      <c r="A1" s="8" t="s">
        <v>76</v>
      </c>
    </row>
    <row r="3" spans="1:2" ht="21" x14ac:dyDescent="0.25">
      <c r="A3" s="9" t="s">
        <v>77</v>
      </c>
      <c r="B3" s="9" t="s">
        <v>22</v>
      </c>
    </row>
    <row r="4" spans="1:2" x14ac:dyDescent="0.2">
      <c r="A4" s="5" t="s">
        <v>39</v>
      </c>
      <c r="B4" s="29" t="s">
        <v>78</v>
      </c>
    </row>
    <row r="5" spans="1:2" x14ac:dyDescent="0.2">
      <c r="A5" s="5" t="s">
        <v>13</v>
      </c>
      <c r="B5" s="27" t="s">
        <v>14</v>
      </c>
    </row>
    <row r="6" spans="1:2" x14ac:dyDescent="0.2">
      <c r="A6" s="5" t="s">
        <v>79</v>
      </c>
      <c r="B6" s="28" t="s">
        <v>80</v>
      </c>
    </row>
    <row r="7" spans="1:2" x14ac:dyDescent="0.2">
      <c r="A7" s="5" t="s">
        <v>40</v>
      </c>
      <c r="B7" s="30" t="s">
        <v>81</v>
      </c>
    </row>
    <row r="10" spans="1:2" ht="24" x14ac:dyDescent="0.3">
      <c r="A10" s="16" t="s">
        <v>61</v>
      </c>
    </row>
    <row r="11" spans="1:2" ht="19" x14ac:dyDescent="0.25">
      <c r="A11" s="7" t="s">
        <v>62</v>
      </c>
    </row>
    <row r="12" spans="1:2" ht="19" x14ac:dyDescent="0.25">
      <c r="A12" s="7" t="s">
        <v>63</v>
      </c>
    </row>
    <row r="13" spans="1:2" ht="19" x14ac:dyDescent="0.25">
      <c r="A13" s="7" t="s">
        <v>64</v>
      </c>
    </row>
    <row r="14" spans="1:2" ht="19" x14ac:dyDescent="0.25">
      <c r="A14" s="7" t="s">
        <v>65</v>
      </c>
    </row>
    <row r="16" spans="1:2" ht="19" x14ac:dyDescent="0.25">
      <c r="A16" s="6" t="s">
        <v>82</v>
      </c>
    </row>
    <row r="17" spans="1:1" ht="19" x14ac:dyDescent="0.25">
      <c r="A17" s="7"/>
    </row>
    <row r="18" spans="1:1" ht="19" x14ac:dyDescent="0.25">
      <c r="A18" s="6" t="s">
        <v>83</v>
      </c>
    </row>
    <row r="19" spans="1:1" ht="19" x14ac:dyDescent="0.25">
      <c r="A19" s="7" t="s">
        <v>84</v>
      </c>
    </row>
    <row r="20" spans="1:1" ht="19" x14ac:dyDescent="0.25">
      <c r="A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Company Overview</vt:lpstr>
      <vt:lpstr>Historical Financials</vt:lpstr>
      <vt:lpstr>Assumptions</vt:lpstr>
      <vt:lpstr>DCF valuations</vt:lpstr>
      <vt:lpstr>Charts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Kapil</dc:creator>
  <cp:lastModifiedBy>Sarthak Kapil</cp:lastModifiedBy>
  <dcterms:created xsi:type="dcterms:W3CDTF">2026-05-29T19:26:08Z</dcterms:created>
  <dcterms:modified xsi:type="dcterms:W3CDTF">2026-06-04T21:17:57Z</dcterms:modified>
</cp:coreProperties>
</file>